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9d0dfca558d3c50/UEH/[UEH] Phan tich va quan ly dau tu nang cao/Materials/"/>
    </mc:Choice>
  </mc:AlternateContent>
  <xr:revisionPtr revIDLastSave="12" documentId="11_992F0A278270F6715CB911C60D3AC5E39B947B1B" xr6:coauthVersionLast="47" xr6:coauthVersionMax="47" xr10:uidLastSave="{762C1868-A22A-47AF-8812-CF62F37F3B89}"/>
  <bookViews>
    <workbookView xWindow="28665" yWindow="-135" windowWidth="19470" windowHeight="1035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4" i="1" l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D18" i="1"/>
  <c r="D19" i="1"/>
  <c r="D20" i="1"/>
  <c r="D21" i="1"/>
  <c r="D22" i="1"/>
  <c r="D23" i="1"/>
  <c r="D24" i="1"/>
  <c r="D25" i="1"/>
  <c r="D26" i="1"/>
  <c r="D27" i="1"/>
  <c r="D28" i="1"/>
  <c r="D9" i="1"/>
  <c r="E9" i="1" s="1"/>
  <c r="D10" i="1"/>
  <c r="E10" i="1" s="1"/>
  <c r="D11" i="1"/>
  <c r="E11" i="1" s="1"/>
  <c r="D12" i="1"/>
  <c r="D13" i="1"/>
  <c r="F13" i="1" s="1"/>
  <c r="D14" i="1"/>
  <c r="D15" i="1"/>
  <c r="D16" i="1"/>
  <c r="D17" i="1"/>
  <c r="D8" i="1"/>
  <c r="F8" i="1"/>
  <c r="E8" i="1"/>
  <c r="F12" i="1"/>
  <c r="E12" i="1"/>
  <c r="E13" i="1" l="1"/>
  <c r="F9" i="1"/>
  <c r="F10" i="1"/>
  <c r="F11" i="1"/>
</calcChain>
</file>

<file path=xl/sharedStrings.xml><?xml version="1.0" encoding="utf-8"?>
<sst xmlns="http://schemas.openxmlformats.org/spreadsheetml/2006/main" count="15" uniqueCount="15">
  <si>
    <t>Share A</t>
  </si>
  <si>
    <t>Expected return</t>
  </si>
  <si>
    <t>Share B</t>
  </si>
  <si>
    <t>Standard deviation</t>
  </si>
  <si>
    <t>Portfolio 1</t>
  </si>
  <si>
    <t>Portfolio 2</t>
  </si>
  <si>
    <t>Portfolio 3</t>
  </si>
  <si>
    <t>Portfolio 4</t>
  </si>
  <si>
    <t>Portfolio 5</t>
  </si>
  <si>
    <t>Portfolio 6</t>
  </si>
  <si>
    <t>Expected Return</t>
  </si>
  <si>
    <t>Standard Deviation</t>
  </si>
  <si>
    <t>Weight A</t>
  </si>
  <si>
    <t>Weight B</t>
  </si>
  <si>
    <t>Correlation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</si>
</sst>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rgb="FF00206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2060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0" fontId="0" fillId="2" borderId="0" xfId="0" applyFill="1"/>
    <xf numFmtId="9" fontId="0" fillId="2" borderId="0" xfId="0" applyNumberFormat="1" applyFill="1"/>
    <xf numFmtId="0" fontId="2" fillId="2" borderId="1" xfId="0" applyFont="1" applyFill="1" applyBorder="1"/>
    <xf numFmtId="0" fontId="3" fillId="2" borderId="1" xfId="0" applyFont="1" applyFill="1" applyBorder="1" applyAlignment="1">
      <alignment horizontal="right"/>
    </xf>
    <xf numFmtId="10" fontId="0" fillId="2" borderId="0" xfId="0" applyNumberFormat="1" applyFill="1"/>
    <xf numFmtId="9" fontId="0" fillId="2" borderId="0" xfId="1" applyFont="1" applyFill="1"/>
  </cellXfs>
  <cellStyles count="2">
    <cellStyle name="Normal" xfId="0" builtinId="0"/>
    <cellStyle name="Percent" xfId="1" builtinId="5"/>
  </cellStyles>
  <dxfs count="0"/>
  <tableStyles count="1" defaultTableStyle="TableStyleMedium2" defaultPivotStyle="PivotStyleLight16">
    <tableStyle name="Invisible" pivot="0" table="0" count="0" xr9:uid="{74B93702-6EF2-4A66-8A59-4D642DA42DC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900" b="1">
                <a:solidFill>
                  <a:srgbClr val="002060"/>
                </a:solidFill>
              </a:rPr>
              <a:t>Portfolios 1-6: Markowitz Shape</a:t>
            </a:r>
          </a:p>
        </c:rich>
      </c:tx>
      <c:layout>
        <c:manualLayout>
          <c:xMode val="edge"/>
          <c:yMode val="edge"/>
          <c:x val="2.5709299851032135E-2"/>
          <c:y val="2.700510317586240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Sheet1!$F$8:$F$28</c:f>
              <c:numCache>
                <c:formatCode>0%</c:formatCode>
                <c:ptCount val="21"/>
                <c:pt idx="0">
                  <c:v>0.05</c:v>
                </c:pt>
                <c:pt idx="1">
                  <c:v>4.8849257926809907E-2</c:v>
                </c:pt>
                <c:pt idx="2">
                  <c:v>4.8010415536631219E-2</c:v>
                </c:pt>
                <c:pt idx="3">
                  <c:v>4.7500000000000007E-2</c:v>
                </c:pt>
                <c:pt idx="4">
                  <c:v>4.7328638264796934E-2</c:v>
                </c:pt>
                <c:pt idx="5">
                  <c:v>4.7500000000000007E-2</c:v>
                </c:pt>
                <c:pt idx="6">
                  <c:v>4.8010415536631219E-2</c:v>
                </c:pt>
                <c:pt idx="7">
                  <c:v>4.8849257926809907E-2</c:v>
                </c:pt>
                <c:pt idx="8">
                  <c:v>0.05</c:v>
                </c:pt>
                <c:pt idx="9">
                  <c:v>5.1441714590398327E-2</c:v>
                </c:pt>
                <c:pt idx="10">
                  <c:v>5.3150729063673248E-2</c:v>
                </c:pt>
                <c:pt idx="11">
                  <c:v>5.5102177815400367E-2</c:v>
                </c:pt>
                <c:pt idx="12">
                  <c:v>5.7271284253105459E-2</c:v>
                </c:pt>
                <c:pt idx="13">
                  <c:v>5.9634302209382865E-2</c:v>
                </c:pt>
                <c:pt idx="14">
                  <c:v>6.2169124169478271E-2</c:v>
                </c:pt>
                <c:pt idx="15">
                  <c:v>6.4855608855364302E-2</c:v>
                </c:pt>
                <c:pt idx="16">
                  <c:v>6.7675697262754575E-2</c:v>
                </c:pt>
                <c:pt idx="17">
                  <c:v>7.0613384000485405E-2</c:v>
                </c:pt>
                <c:pt idx="18">
                  <c:v>7.3654599313281249E-2</c:v>
                </c:pt>
                <c:pt idx="19">
                  <c:v>7.6787043177869593E-2</c:v>
                </c:pt>
                <c:pt idx="20">
                  <c:v>0.08</c:v>
                </c:pt>
              </c:numCache>
            </c:numRef>
          </c:xVal>
          <c:yVal>
            <c:numRef>
              <c:f>Sheet1!$E$8:$E$28</c:f>
              <c:numCache>
                <c:formatCode>0.00%</c:formatCode>
                <c:ptCount val="21"/>
                <c:pt idx="0">
                  <c:v>7.0000000000000007E-2</c:v>
                </c:pt>
                <c:pt idx="1">
                  <c:v>7.1000000000000008E-2</c:v>
                </c:pt>
                <c:pt idx="2">
                  <c:v>7.2000000000000008E-2</c:v>
                </c:pt>
                <c:pt idx="3">
                  <c:v>7.3000000000000009E-2</c:v>
                </c:pt>
                <c:pt idx="4">
                  <c:v>7.400000000000001E-2</c:v>
                </c:pt>
                <c:pt idx="5">
                  <c:v>7.5000000000000011E-2</c:v>
                </c:pt>
                <c:pt idx="6">
                  <c:v>7.6000000000000012E-2</c:v>
                </c:pt>
                <c:pt idx="7">
                  <c:v>7.7000000000000013E-2</c:v>
                </c:pt>
                <c:pt idx="8">
                  <c:v>7.8E-2</c:v>
                </c:pt>
                <c:pt idx="9">
                  <c:v>7.9000000000000001E-2</c:v>
                </c:pt>
                <c:pt idx="10">
                  <c:v>0.08</c:v>
                </c:pt>
                <c:pt idx="11">
                  <c:v>8.1000000000000016E-2</c:v>
                </c:pt>
                <c:pt idx="12">
                  <c:v>8.2000000000000017E-2</c:v>
                </c:pt>
                <c:pt idx="13">
                  <c:v>8.3000000000000018E-2</c:v>
                </c:pt>
                <c:pt idx="14">
                  <c:v>8.4000000000000033E-2</c:v>
                </c:pt>
                <c:pt idx="15">
                  <c:v>8.500000000000002E-2</c:v>
                </c:pt>
                <c:pt idx="16">
                  <c:v>8.6000000000000007E-2</c:v>
                </c:pt>
                <c:pt idx="17">
                  <c:v>8.7000000000000008E-2</c:v>
                </c:pt>
                <c:pt idx="18">
                  <c:v>8.8000000000000023E-2</c:v>
                </c:pt>
                <c:pt idx="19">
                  <c:v>8.900000000000001E-2</c:v>
                </c:pt>
                <c:pt idx="20">
                  <c:v>0.09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EA41-403A-8819-5D7091FD1C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4997256"/>
        <c:axId val="434993976"/>
      </c:scatterChart>
      <c:valAx>
        <c:axId val="434997256"/>
        <c:scaling>
          <c:orientation val="minMax"/>
          <c:min val="4.0000000000000008E-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b="1"/>
                  <a:t>Standard deviation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.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34993976"/>
        <c:crosses val="autoZero"/>
        <c:crossBetween val="midCat"/>
      </c:valAx>
      <c:valAx>
        <c:axId val="434993976"/>
        <c:scaling>
          <c:orientation val="minMax"/>
          <c:max val="0.1"/>
          <c:min val="6.0000000000000012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b="1"/>
                  <a:t>Return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.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349972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9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279797</xdr:colOff>
      <xdr:row>4</xdr:row>
      <xdr:rowOff>160735</xdr:rowOff>
    </xdr:from>
    <xdr:to>
      <xdr:col>11</xdr:col>
      <xdr:colOff>333374</xdr:colOff>
      <xdr:row>16</xdr:row>
      <xdr:rowOff>172043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D7C18C1-973D-46B9-A397-14C1EB3BAC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28"/>
  <sheetViews>
    <sheetView tabSelected="1" topLeftCell="A5" zoomScale="115" zoomScaleNormal="115" workbookViewId="0">
      <selection activeCell="D8" sqref="D8"/>
    </sheetView>
  </sheetViews>
  <sheetFormatPr defaultColWidth="9.109375" defaultRowHeight="14.4" x14ac:dyDescent="0.3"/>
  <cols>
    <col min="1" max="1" width="2" style="1" customWidth="1"/>
    <col min="2" max="2" width="18" style="1" bestFit="1" customWidth="1"/>
    <col min="3" max="4" width="9.109375" style="1"/>
    <col min="5" max="5" width="15.6640625" style="1" bestFit="1" customWidth="1"/>
    <col min="6" max="6" width="16.88671875" style="1" bestFit="1" customWidth="1"/>
    <col min="7" max="7" width="18.109375" style="1" bestFit="1" customWidth="1"/>
    <col min="8" max="16384" width="9.109375" style="1"/>
  </cols>
  <sheetData>
    <row r="2" spans="2:7" ht="15" thickBot="1" x14ac:dyDescent="0.35">
      <c r="B2" s="3"/>
      <c r="C2" s="4" t="s">
        <v>0</v>
      </c>
      <c r="D2" s="4" t="s">
        <v>2</v>
      </c>
    </row>
    <row r="3" spans="2:7" x14ac:dyDescent="0.3">
      <c r="B3" s="1" t="s">
        <v>1</v>
      </c>
      <c r="C3" s="2">
        <v>7.0000000000000007E-2</v>
      </c>
      <c r="D3" s="2">
        <v>0.09</v>
      </c>
    </row>
    <row r="4" spans="2:7" x14ac:dyDescent="0.3">
      <c r="B4" s="1" t="s">
        <v>3</v>
      </c>
      <c r="C4" s="2">
        <v>0.05</v>
      </c>
      <c r="D4" s="2">
        <v>0.08</v>
      </c>
    </row>
    <row r="5" spans="2:7" x14ac:dyDescent="0.3">
      <c r="B5" s="1" t="s">
        <v>14</v>
      </c>
      <c r="C5" s="2">
        <v>0.3</v>
      </c>
      <c r="D5" s="2"/>
    </row>
    <row r="7" spans="2:7" ht="15" thickBot="1" x14ac:dyDescent="0.35">
      <c r="B7" s="4"/>
      <c r="C7" s="4" t="s">
        <v>12</v>
      </c>
      <c r="D7" s="4" t="s">
        <v>13</v>
      </c>
      <c r="E7" s="4" t="s">
        <v>10</v>
      </c>
      <c r="F7" s="4" t="s">
        <v>11</v>
      </c>
    </row>
    <row r="8" spans="2:7" x14ac:dyDescent="0.3">
      <c r="B8" s="1" t="s">
        <v>4</v>
      </c>
      <c r="C8" s="2">
        <v>1</v>
      </c>
      <c r="D8" s="2">
        <f>1-C8</f>
        <v>0</v>
      </c>
      <c r="E8" s="5">
        <f>C8*$C$3+D8*$D$3</f>
        <v>7.0000000000000007E-2</v>
      </c>
      <c r="F8" s="6">
        <f>(C8^2*$C$4^2+D8^2*$D$4^2+2*$C$5*C8*D8*$C$4*$D$4)^(1/2)</f>
        <v>0.05</v>
      </c>
      <c r="G8" s="5"/>
    </row>
    <row r="9" spans="2:7" x14ac:dyDescent="0.3">
      <c r="B9" s="1" t="s">
        <v>5</v>
      </c>
      <c r="C9" s="2">
        <v>0.95</v>
      </c>
      <c r="D9" s="2">
        <f t="shared" ref="D9:D28" si="0">1-C9</f>
        <v>5.0000000000000044E-2</v>
      </c>
      <c r="E9" s="5">
        <f t="shared" ref="E9:E28" si="1">C9*$C$3+D9*$D$3</f>
        <v>7.1000000000000008E-2</v>
      </c>
      <c r="F9" s="6">
        <f t="shared" ref="F9:F28" si="2">(C9^2*$C$4^2+D9^2*$D$4^2+2*$C$5*C9*D9*$C$4*$D$4)^(1/2)</f>
        <v>4.8849257926809907E-2</v>
      </c>
      <c r="G9" s="5"/>
    </row>
    <row r="10" spans="2:7" x14ac:dyDescent="0.3">
      <c r="B10" s="1" t="s">
        <v>6</v>
      </c>
      <c r="C10" s="2">
        <v>0.9</v>
      </c>
      <c r="D10" s="2">
        <f t="shared" si="0"/>
        <v>9.9999999999999978E-2</v>
      </c>
      <c r="E10" s="5">
        <f t="shared" si="1"/>
        <v>7.2000000000000008E-2</v>
      </c>
      <c r="F10" s="6">
        <f t="shared" si="2"/>
        <v>4.8010415536631219E-2</v>
      </c>
      <c r="G10" s="5"/>
    </row>
    <row r="11" spans="2:7" x14ac:dyDescent="0.3">
      <c r="B11" s="1" t="s">
        <v>7</v>
      </c>
      <c r="C11" s="2">
        <v>0.85</v>
      </c>
      <c r="D11" s="2">
        <f t="shared" si="0"/>
        <v>0.15000000000000002</v>
      </c>
      <c r="E11" s="5">
        <f t="shared" si="1"/>
        <v>7.3000000000000009E-2</v>
      </c>
      <c r="F11" s="6">
        <f t="shared" si="2"/>
        <v>4.7500000000000007E-2</v>
      </c>
      <c r="G11" s="5"/>
    </row>
    <row r="12" spans="2:7" x14ac:dyDescent="0.3">
      <c r="B12" s="1" t="s">
        <v>8</v>
      </c>
      <c r="C12" s="2">
        <v>0.8</v>
      </c>
      <c r="D12" s="2">
        <f t="shared" si="0"/>
        <v>0.19999999999999996</v>
      </c>
      <c r="E12" s="5">
        <f t="shared" si="1"/>
        <v>7.400000000000001E-2</v>
      </c>
      <c r="F12" s="6">
        <f t="shared" si="2"/>
        <v>4.7328638264796934E-2</v>
      </c>
      <c r="G12" s="5"/>
    </row>
    <row r="13" spans="2:7" x14ac:dyDescent="0.3">
      <c r="B13" s="1" t="s">
        <v>9</v>
      </c>
      <c r="C13" s="2">
        <v>0.75</v>
      </c>
      <c r="D13" s="2">
        <f t="shared" si="0"/>
        <v>0.25</v>
      </c>
      <c r="E13" s="5">
        <f t="shared" si="1"/>
        <v>7.5000000000000011E-2</v>
      </c>
      <c r="F13" s="6">
        <f t="shared" si="2"/>
        <v>4.7500000000000007E-2</v>
      </c>
      <c r="G13" s="5"/>
    </row>
    <row r="14" spans="2:7" x14ac:dyDescent="0.3">
      <c r="C14" s="2">
        <v>0.7</v>
      </c>
      <c r="D14" s="2">
        <f t="shared" si="0"/>
        <v>0.30000000000000004</v>
      </c>
      <c r="E14" s="5">
        <f t="shared" si="1"/>
        <v>7.6000000000000012E-2</v>
      </c>
      <c r="F14" s="6">
        <f t="shared" si="2"/>
        <v>4.8010415536631219E-2</v>
      </c>
    </row>
    <row r="15" spans="2:7" x14ac:dyDescent="0.3">
      <c r="C15" s="2">
        <v>0.65</v>
      </c>
      <c r="D15" s="2">
        <f t="shared" si="0"/>
        <v>0.35</v>
      </c>
      <c r="E15" s="5">
        <f t="shared" si="1"/>
        <v>7.7000000000000013E-2</v>
      </c>
      <c r="F15" s="6">
        <f t="shared" si="2"/>
        <v>4.8849257926809907E-2</v>
      </c>
    </row>
    <row r="16" spans="2:7" x14ac:dyDescent="0.3">
      <c r="C16" s="2">
        <v>0.6</v>
      </c>
      <c r="D16" s="2">
        <f t="shared" si="0"/>
        <v>0.4</v>
      </c>
      <c r="E16" s="5">
        <f t="shared" si="1"/>
        <v>7.8E-2</v>
      </c>
      <c r="F16" s="6">
        <f t="shared" si="2"/>
        <v>0.05</v>
      </c>
    </row>
    <row r="17" spans="3:6" x14ac:dyDescent="0.3">
      <c r="C17" s="2">
        <v>0.55000000000000004</v>
      </c>
      <c r="D17" s="2">
        <f t="shared" si="0"/>
        <v>0.44999999999999996</v>
      </c>
      <c r="E17" s="5">
        <f t="shared" si="1"/>
        <v>7.9000000000000001E-2</v>
      </c>
      <c r="F17" s="6">
        <f t="shared" si="2"/>
        <v>5.1441714590398327E-2</v>
      </c>
    </row>
    <row r="18" spans="3:6" x14ac:dyDescent="0.3">
      <c r="C18" s="2">
        <v>0.5</v>
      </c>
      <c r="D18" s="2">
        <f t="shared" si="0"/>
        <v>0.5</v>
      </c>
      <c r="E18" s="5">
        <f t="shared" si="1"/>
        <v>0.08</v>
      </c>
      <c r="F18" s="6">
        <f t="shared" si="2"/>
        <v>5.3150729063673248E-2</v>
      </c>
    </row>
    <row r="19" spans="3:6" x14ac:dyDescent="0.3">
      <c r="C19" s="2">
        <v>0.45</v>
      </c>
      <c r="D19" s="2">
        <f t="shared" si="0"/>
        <v>0.55000000000000004</v>
      </c>
      <c r="E19" s="5">
        <f t="shared" si="1"/>
        <v>8.1000000000000016E-2</v>
      </c>
      <c r="F19" s="6">
        <f t="shared" si="2"/>
        <v>5.5102177815400367E-2</v>
      </c>
    </row>
    <row r="20" spans="3:6" x14ac:dyDescent="0.3">
      <c r="C20" s="2">
        <v>0.39999999999999902</v>
      </c>
      <c r="D20" s="2">
        <f t="shared" si="0"/>
        <v>0.60000000000000098</v>
      </c>
      <c r="E20" s="5">
        <f t="shared" si="1"/>
        <v>8.2000000000000017E-2</v>
      </c>
      <c r="F20" s="6">
        <f t="shared" si="2"/>
        <v>5.7271284253105459E-2</v>
      </c>
    </row>
    <row r="21" spans="3:6" x14ac:dyDescent="0.3">
      <c r="C21" s="2">
        <v>0.34999999999999898</v>
      </c>
      <c r="D21" s="2">
        <f t="shared" si="0"/>
        <v>0.65000000000000102</v>
      </c>
      <c r="E21" s="5">
        <f t="shared" si="1"/>
        <v>8.3000000000000018E-2</v>
      </c>
      <c r="F21" s="6">
        <f t="shared" si="2"/>
        <v>5.9634302209382865E-2</v>
      </c>
    </row>
    <row r="22" spans="3:6" x14ac:dyDescent="0.3">
      <c r="C22" s="2">
        <v>0.29999999999999899</v>
      </c>
      <c r="D22" s="2">
        <f t="shared" si="0"/>
        <v>0.70000000000000107</v>
      </c>
      <c r="E22" s="5">
        <f t="shared" si="1"/>
        <v>8.4000000000000033E-2</v>
      </c>
      <c r="F22" s="6">
        <f t="shared" si="2"/>
        <v>6.2169124169478271E-2</v>
      </c>
    </row>
    <row r="23" spans="3:6" x14ac:dyDescent="0.3">
      <c r="C23" s="2">
        <v>0.249999999999999</v>
      </c>
      <c r="D23" s="2">
        <f t="shared" si="0"/>
        <v>0.750000000000001</v>
      </c>
      <c r="E23" s="5">
        <f t="shared" si="1"/>
        <v>8.500000000000002E-2</v>
      </c>
      <c r="F23" s="6">
        <f t="shared" si="2"/>
        <v>6.4855608855364302E-2</v>
      </c>
    </row>
    <row r="24" spans="3:6" x14ac:dyDescent="0.3">
      <c r="C24" s="2">
        <v>0.19999999999999901</v>
      </c>
      <c r="D24" s="2">
        <f t="shared" si="0"/>
        <v>0.80000000000000093</v>
      </c>
      <c r="E24" s="5">
        <f t="shared" si="1"/>
        <v>8.6000000000000007E-2</v>
      </c>
      <c r="F24" s="6">
        <f t="shared" si="2"/>
        <v>6.7675697262754575E-2</v>
      </c>
    </row>
    <row r="25" spans="3:6" x14ac:dyDescent="0.3">
      <c r="C25" s="2">
        <v>0.149999999999999</v>
      </c>
      <c r="D25" s="2">
        <f t="shared" si="0"/>
        <v>0.85000000000000098</v>
      </c>
      <c r="E25" s="5">
        <f t="shared" si="1"/>
        <v>8.7000000000000008E-2</v>
      </c>
      <c r="F25" s="6">
        <f t="shared" si="2"/>
        <v>7.0613384000485405E-2</v>
      </c>
    </row>
    <row r="26" spans="3:6" x14ac:dyDescent="0.3">
      <c r="C26" s="2">
        <v>9.9999999999999006E-2</v>
      </c>
      <c r="D26" s="2">
        <f t="shared" si="0"/>
        <v>0.90000000000000102</v>
      </c>
      <c r="E26" s="5">
        <f t="shared" si="1"/>
        <v>8.8000000000000023E-2</v>
      </c>
      <c r="F26" s="6">
        <f t="shared" si="2"/>
        <v>7.3654599313281249E-2</v>
      </c>
    </row>
    <row r="27" spans="3:6" x14ac:dyDescent="0.3">
      <c r="C27" s="2">
        <v>4.9999999999998997E-2</v>
      </c>
      <c r="D27" s="2">
        <f t="shared" si="0"/>
        <v>0.95000000000000095</v>
      </c>
      <c r="E27" s="5">
        <f t="shared" si="1"/>
        <v>8.900000000000001E-2</v>
      </c>
      <c r="F27" s="6">
        <f t="shared" si="2"/>
        <v>7.6787043177869593E-2</v>
      </c>
    </row>
    <row r="28" spans="3:6" x14ac:dyDescent="0.3">
      <c r="C28" s="2">
        <v>0</v>
      </c>
      <c r="D28" s="2">
        <f t="shared" si="0"/>
        <v>1</v>
      </c>
      <c r="E28" s="5">
        <f t="shared" si="1"/>
        <v>0.09</v>
      </c>
      <c r="F28" s="6">
        <f t="shared" si="2"/>
        <v>0.08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NewPC</dc:creator>
  <cp:lastModifiedBy>Nhu-Tai Do</cp:lastModifiedBy>
  <dcterms:created xsi:type="dcterms:W3CDTF">2017-03-28T13:13:18Z</dcterms:created>
  <dcterms:modified xsi:type="dcterms:W3CDTF">2024-05-23T01:49:38Z</dcterms:modified>
</cp:coreProperties>
</file>